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Li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10" customWidth="1" min="4" max="4"/>
    <col width="45" customWidth="1" min="5" max="5"/>
    <col width="28" customWidth="1" min="6" max="6"/>
    <col width="22" customWidth="1" min="7" max="7"/>
    <col width="20" customWidth="1" min="8" max="8"/>
  </cols>
  <sheetData>
    <row r="1">
      <c r="A1" s="1" t="inlineStr">
        <is>
          <t>Equipment Explorer - Sample Document List</t>
        </is>
      </c>
    </row>
    <row r="2">
      <c r="A2" s="2" t="inlineStr">
        <is>
          <t>Equipment:</t>
        </is>
      </c>
      <c r="B2" s="3" t="inlineStr">
        <is>
          <t>1234 - Horizon Star</t>
        </is>
      </c>
    </row>
    <row r="3">
      <c r="A3" s="2" t="inlineStr">
        <is>
          <t>Date:</t>
        </is>
      </c>
      <c r="B3" s="3" t="inlineStr">
        <is>
          <t>01/01/2025</t>
        </is>
      </c>
    </row>
    <row r="5" ht="28" customHeight="1">
      <c r="A5" s="4" t="inlineStr">
        <is>
          <t>Supergrandparent</t>
        </is>
      </c>
      <c r="B5" s="4" t="inlineStr">
        <is>
          <t>Superparent</t>
        </is>
      </c>
      <c r="C5" s="4" t="inlineStr">
        <is>
          <t>Filename</t>
        </is>
      </c>
      <c r="D5" s="4" t="inlineStr">
        <is>
          <t>Revision</t>
        </is>
      </c>
      <c r="E5" s="4" t="inlineStr">
        <is>
          <t>Document Description</t>
        </is>
      </c>
      <c r="F5" s="4" t="inlineStr">
        <is>
          <t>Supplier Document Code</t>
        </is>
      </c>
      <c r="G5" s="4" t="inlineStr">
        <is>
          <t>Supplier Name</t>
        </is>
      </c>
      <c r="H5" s="4" t="inlineStr">
        <is>
          <t>Status</t>
        </is>
      </c>
    </row>
    <row r="6">
      <c r="A6" s="5" t="inlineStr">
        <is>
          <t>M10 - GENERAL</t>
        </is>
      </c>
      <c r="B6" s="5" t="inlineStr">
        <is>
          <t>P00 - GENERAL ARRANGEMENT</t>
        </is>
      </c>
      <c r="C6" s="6">
        <f>=HYPERLINK("M10 - GENERAL\P00 - GENERAL ARRANGEMENT\DEMO1234-E-1000.001.01.PDF","DEMO1234-E-1000.001.01.PDF")</f>
        <v/>
      </c>
      <c r="D6" s="5" t="inlineStr">
        <is>
          <t>7</t>
        </is>
      </c>
      <c r="E6" s="5" t="inlineStr">
        <is>
          <t>General Arrangement Plan</t>
        </is>
      </c>
      <c r="F6" s="5" t="inlineStr">
        <is>
          <t>CIMC</t>
        </is>
      </c>
      <c r="G6" s="5" t="inlineStr">
        <is>
          <t>CIMC Raffles</t>
        </is>
      </c>
      <c r="H6" s="5" t="inlineStr">
        <is>
          <t>AS BUILT</t>
        </is>
      </c>
    </row>
    <row r="7">
      <c r="A7" s="7" t="inlineStr">
        <is>
          <t>M10 - GENERAL</t>
        </is>
      </c>
      <c r="B7" s="7" t="inlineStr">
        <is>
          <t>P00 - GENERAL ARRANGEMENT</t>
        </is>
      </c>
      <c r="C7" s="8">
        <f>=HYPERLINK("M10 - GENERAL\P00 - GENERAL ARRANGEMENT\DEMO1234-E-1000.002.01.PDF","DEMO1234-E-1000.002.01.PDF")</f>
        <v/>
      </c>
      <c r="D7" s="7" t="inlineStr">
        <is>
          <t>5</t>
        </is>
      </c>
      <c r="E7" s="7" t="inlineStr">
        <is>
          <t>Docking Plan</t>
        </is>
      </c>
      <c r="F7" s="7" t="inlineStr">
        <is>
          <t>CIMC</t>
        </is>
      </c>
      <c r="G7" s="7" t="inlineStr">
        <is>
          <t>CIMC Raffles</t>
        </is>
      </c>
      <c r="H7" s="7" t="inlineStr">
        <is>
          <t>AS BUILT</t>
        </is>
      </c>
    </row>
    <row r="8">
      <c r="A8" s="5" t="inlineStr">
        <is>
          <t>M10 - GENERAL</t>
        </is>
      </c>
      <c r="B8" s="5" t="inlineStr">
        <is>
          <t>P00 - GENERAL ARRANGEMENT</t>
        </is>
      </c>
      <c r="C8" s="6">
        <f>=HYPERLINK("M10 - GENERAL\P00 - GENERAL ARRANGEMENT\DEMO1234-E-1000.003.01.PDF","DEMO1234-E-1000.003.01.PDF")</f>
        <v/>
      </c>
      <c r="D8" s="5" t="inlineStr">
        <is>
          <t>4</t>
        </is>
      </c>
      <c r="E8" s="5" t="inlineStr">
        <is>
          <t>Structural Fire Protection Plan</t>
        </is>
      </c>
      <c r="F8" s="5" t="inlineStr">
        <is>
          <t>CIMC</t>
        </is>
      </c>
      <c r="G8" s="5" t="inlineStr">
        <is>
          <t>CIMC Raffles</t>
        </is>
      </c>
      <c r="H8" s="5" t="inlineStr">
        <is>
          <t>AS BUILT</t>
        </is>
      </c>
    </row>
    <row r="9">
      <c r="A9" s="7" t="inlineStr">
        <is>
          <t>M40 - ELECTRICAL</t>
        </is>
      </c>
      <c r="B9" s="7" t="inlineStr">
        <is>
          <t>P10 - POWER GENERATION</t>
        </is>
      </c>
      <c r="C9" s="8">
        <f>=HYPERLINK("M40 - ELECTRICAL\P10 - POWER GENERATION\DEMO1234-E-4000.001.01.PDF","DEMO1234-E-4000.001.01.PDF")</f>
        <v/>
      </c>
      <c r="D9" s="7" t="inlineStr">
        <is>
          <t>3</t>
        </is>
      </c>
      <c r="E9" s="7" t="inlineStr">
        <is>
          <t>Single Line Diagram - Main Power</t>
        </is>
      </c>
      <c r="F9" s="7" t="inlineStr">
        <is>
          <t>ABB</t>
        </is>
      </c>
      <c r="G9" s="7" t="inlineStr">
        <is>
          <t>ABB Marine</t>
        </is>
      </c>
      <c r="H9" s="7" t="inlineStr">
        <is>
          <t>AS BUILT</t>
        </is>
      </c>
    </row>
    <row r="10">
      <c r="A10" s="5" t="inlineStr">
        <is>
          <t>M40 - ELECTRICAL</t>
        </is>
      </c>
      <c r="B10" s="5" t="inlineStr">
        <is>
          <t>P10 - POWER GENERATION</t>
        </is>
      </c>
      <c r="C10" s="6">
        <f>=HYPERLINK("M40 - ELECTRICAL\P10 - POWER GENERATION\DEMO1234-E-4000.002.01.PDF","DEMO1234-E-4000.002.01.PDF")</f>
        <v/>
      </c>
      <c r="D10" s="5" t="inlineStr">
        <is>
          <t>3</t>
        </is>
      </c>
      <c r="E10" s="5" t="inlineStr">
        <is>
          <t>Single Line Diagram - Emergency Power</t>
        </is>
      </c>
      <c r="F10" s="5" t="inlineStr">
        <is>
          <t>ABB</t>
        </is>
      </c>
      <c r="G10" s="5" t="inlineStr">
        <is>
          <t>ABB Marine</t>
        </is>
      </c>
      <c r="H10" s="5" t="inlineStr">
        <is>
          <t>AS BUILT</t>
        </is>
      </c>
    </row>
    <row r="11">
      <c r="A11" s="7" t="inlineStr">
        <is>
          <t>M40 - ELECTRICAL</t>
        </is>
      </c>
      <c r="B11" s="7" t="inlineStr">
        <is>
          <t>P10 - POWER GENERATION</t>
        </is>
      </c>
      <c r="C11" s="8">
        <f>=HYPERLINK("M40 - ELECTRICAL\P10 - POWER GENERATION\DEMO1234-E-4000.003.01.PDF","DEMO1234-E-4000.003.01.PDF")</f>
        <v/>
      </c>
      <c r="D11" s="7" t="inlineStr">
        <is>
          <t>2</t>
        </is>
      </c>
      <c r="E11" s="7" t="inlineStr">
        <is>
          <t>Generator Control Wiring</t>
        </is>
      </c>
      <c r="F11" s="7" t="inlineStr">
        <is>
          <t>WRTS</t>
        </is>
      </c>
      <c r="G11" s="7" t="inlineStr">
        <is>
          <t>Wärtsilä</t>
        </is>
      </c>
      <c r="H11" s="7" t="inlineStr">
        <is>
          <t>AS BUILT</t>
        </is>
      </c>
    </row>
    <row r="12">
      <c r="A12" s="5" t="inlineStr">
        <is>
          <t>M40 - ELECTRICAL</t>
        </is>
      </c>
      <c r="B12" s="5" t="inlineStr">
        <is>
          <t>P10 - POWER GENERATION</t>
        </is>
      </c>
      <c r="C12" s="6">
        <f>=HYPERLINK("M40 - ELECTRICAL\P10 - POWER GENERATION\DEMO1234-E-4000.004.01.PDF","DEMO1234-E-4000.004.01.PDF")</f>
        <v/>
      </c>
      <c r="D12" s="5" t="inlineStr">
        <is>
          <t>2</t>
        </is>
      </c>
      <c r="E12" s="5" t="inlineStr">
        <is>
          <t>Main Switchboard Layout</t>
        </is>
      </c>
      <c r="F12" s="5" t="inlineStr">
        <is>
          <t>ABB</t>
        </is>
      </c>
      <c r="G12" s="5" t="inlineStr">
        <is>
          <t>ABB Marine</t>
        </is>
      </c>
      <c r="H12" s="5" t="inlineStr">
        <is>
          <t>AS BUILT</t>
        </is>
      </c>
    </row>
    <row r="13">
      <c r="A13" s="7" t="inlineStr">
        <is>
          <t>M40 - ELECTRICAL</t>
        </is>
      </c>
      <c r="B13" s="7" t="inlineStr">
        <is>
          <t>P20 - POWER DISTRIBUTION</t>
        </is>
      </c>
      <c r="C13" s="8">
        <f>=HYPERLINK("M40 - ELECTRICAL\P20 - POWER DISTRIBUTION\DEMO1234-E-4000.001.01.PDF","DEMO1234-E-4000.001.01.PDF")</f>
        <v/>
      </c>
      <c r="D13" s="7" t="inlineStr">
        <is>
          <t>2</t>
        </is>
      </c>
      <c r="E13" s="7" t="inlineStr">
        <is>
          <t>Distribution Board - Accommodation</t>
        </is>
      </c>
      <c r="F13" s="7" t="inlineStr">
        <is>
          <t>ABB</t>
        </is>
      </c>
      <c r="G13" s="7" t="inlineStr">
        <is>
          <t>ABB Marine</t>
        </is>
      </c>
      <c r="H13" s="7" t="inlineStr">
        <is>
          <t>AS BUILT</t>
        </is>
      </c>
    </row>
    <row r="14">
      <c r="A14" s="5" t="inlineStr">
        <is>
          <t>M40 - ELECTRICAL</t>
        </is>
      </c>
      <c r="B14" s="5" t="inlineStr">
        <is>
          <t>P20 - POWER DISTRIBUTION</t>
        </is>
      </c>
      <c r="C14" s="6">
        <f>=HYPERLINK("M40 - ELECTRICAL\P20 - POWER DISTRIBUTION\DEMO1234-E-4000.002.01.PDF","DEMO1234-E-4000.002.01.PDF")</f>
        <v/>
      </c>
      <c r="D14" s="5" t="inlineStr">
        <is>
          <t>2</t>
        </is>
      </c>
      <c r="E14" s="5" t="inlineStr">
        <is>
          <t>Distribution Board - Engine Room</t>
        </is>
      </c>
      <c r="F14" s="5" t="inlineStr">
        <is>
          <t>ABB</t>
        </is>
      </c>
      <c r="G14" s="5" t="inlineStr">
        <is>
          <t>ABB Marine</t>
        </is>
      </c>
      <c r="H14" s="5" t="inlineStr">
        <is>
          <t>AS BUILT</t>
        </is>
      </c>
    </row>
    <row r="15">
      <c r="A15" s="7" t="inlineStr">
        <is>
          <t>M40 - ELECTRICAL</t>
        </is>
      </c>
      <c r="B15" s="7" t="inlineStr">
        <is>
          <t>P20 - POWER DISTRIBUTION</t>
        </is>
      </c>
      <c r="C15" s="8">
        <f>=HYPERLINK("M40 - ELECTRICAL\P20 - POWER DISTRIBUTION\DEMO1234-E-4000.003.01.PDF","DEMO1234-E-4000.003.01.PDF")</f>
        <v/>
      </c>
      <c r="D15" s="7" t="inlineStr">
        <is>
          <t>6</t>
        </is>
      </c>
      <c r="E15" s="7" t="inlineStr">
        <is>
          <t>Cable Schedule - Power</t>
        </is>
      </c>
      <c r="F15" s="7" t="inlineStr">
        <is>
          <t>CIMC</t>
        </is>
      </c>
      <c r="G15" s="7" t="inlineStr">
        <is>
          <t>CIMC Raffles</t>
        </is>
      </c>
      <c r="H15" s="7" t="inlineStr">
        <is>
          <t>AS BUILT</t>
        </is>
      </c>
    </row>
    <row r="16">
      <c r="A16" s="5" t="inlineStr">
        <is>
          <t>M40 - ELECTRICAL</t>
        </is>
      </c>
      <c r="B16" s="5" t="inlineStr">
        <is>
          <t>P20 - POWER DISTRIBUTION</t>
        </is>
      </c>
      <c r="C16" s="6">
        <f>=HYPERLINK("M40 - ELECTRICAL\P20 - POWER DISTRIBUTION\DEMO1234-E-4000.004.01.PDF","DEMO1234-E-4000.004.01.PDF")</f>
        <v/>
      </c>
      <c r="D16" s="5" t="inlineStr">
        <is>
          <t>4</t>
        </is>
      </c>
      <c r="E16" s="5" t="inlineStr">
        <is>
          <t>Cable Routing Plan - Deck 1</t>
        </is>
      </c>
      <c r="F16" s="5" t="inlineStr">
        <is>
          <t>CIMC</t>
        </is>
      </c>
      <c r="G16" s="5" t="inlineStr">
        <is>
          <t>CIMC Raffles</t>
        </is>
      </c>
      <c r="H16" s="5" t="inlineStr">
        <is>
          <t>AS BUILT</t>
        </is>
      </c>
    </row>
    <row r="17">
      <c r="A17" s="7" t="inlineStr">
        <is>
          <t>M40 - ELECTRICAL</t>
        </is>
      </c>
      <c r="B17" s="7" t="inlineStr">
        <is>
          <t>P20 - POWER DISTRIBUTION</t>
        </is>
      </c>
      <c r="C17" s="8">
        <f>=HYPERLINK("M40 - ELECTRICAL\P20 - POWER DISTRIBUTION\DEMO1234-E-4000.005.01.PDF","DEMO1234-E-4000.005.01.PDF")</f>
        <v/>
      </c>
      <c r="D17" s="7" t="inlineStr">
        <is>
          <t>4</t>
        </is>
      </c>
      <c r="E17" s="7" t="inlineStr">
        <is>
          <t>Cable Routing Plan - Deck 2</t>
        </is>
      </c>
      <c r="F17" s="7" t="inlineStr">
        <is>
          <t>CIMC</t>
        </is>
      </c>
      <c r="G17" s="7" t="inlineStr">
        <is>
          <t>CIMC Raffles</t>
        </is>
      </c>
      <c r="H17" s="7" t="inlineStr">
        <is>
          <t>AS BUILT</t>
        </is>
      </c>
    </row>
    <row r="18">
      <c r="A18" s="5" t="inlineStr">
        <is>
          <t>M40 - ELECTRICAL</t>
        </is>
      </c>
      <c r="B18" s="5" t="inlineStr">
        <is>
          <t>P20 - POWER DISTRIBUTION</t>
        </is>
      </c>
      <c r="C18" s="6">
        <f>=HYPERLINK("M40 - ELECTRICAL\P20 - POWER DISTRIBUTION\DEMO1234-E-4000.006.01.PDF","DEMO1234-E-4000.006.01.PDF")</f>
        <v/>
      </c>
      <c r="D18" s="5" t="inlineStr">
        <is>
          <t>3</t>
        </is>
      </c>
      <c r="E18" s="5" t="inlineStr">
        <is>
          <t>Cable Routing Plan - Deck 4</t>
        </is>
      </c>
      <c r="F18" s="5" t="inlineStr">
        <is>
          <t>CIMC</t>
        </is>
      </c>
      <c r="G18" s="5" t="inlineStr">
        <is>
          <t>CIMC Raffles</t>
        </is>
      </c>
      <c r="H18" s="5" t="inlineStr">
        <is>
          <t>AS BUILT</t>
        </is>
      </c>
    </row>
    <row r="19">
      <c r="A19" s="7" t="inlineStr">
        <is>
          <t>M40 - ELECTRICAL</t>
        </is>
      </c>
      <c r="B19" s="7" t="inlineStr">
        <is>
          <t>P30 - NAVIGATION SYSTEMS</t>
        </is>
      </c>
      <c r="C19" s="8">
        <f>=HYPERLINK("M40 - ELECTRICAL\P30 - NAVIGATION SYSTEMS\DEMO1234-E-4000.001.01.PDF","DEMO1234-E-4000.001.01.PDF")</f>
        <v/>
      </c>
      <c r="D19" s="7" t="inlineStr">
        <is>
          <t>3</t>
        </is>
      </c>
      <c r="E19" s="7" t="inlineStr">
        <is>
          <t>Block Diagram - Navigation</t>
        </is>
      </c>
      <c r="F19" s="7" t="inlineStr">
        <is>
          <t>FURN</t>
        </is>
      </c>
      <c r="G19" s="7" t="inlineStr">
        <is>
          <t>Furuno</t>
        </is>
      </c>
      <c r="H19" s="7" t="inlineStr">
        <is>
          <t>AS BUILT</t>
        </is>
      </c>
    </row>
    <row r="20">
      <c r="A20" s="5" t="inlineStr">
        <is>
          <t>M40 - ELECTRICAL</t>
        </is>
      </c>
      <c r="B20" s="5" t="inlineStr">
        <is>
          <t>P30 - NAVIGATION SYSTEMS</t>
        </is>
      </c>
      <c r="C20" s="6">
        <f>=HYPERLINK("M40 - ELECTRICAL\P30 - NAVIGATION SYSTEMS\DEMO1234-E-4000.002.01.PDF","DEMO1234-E-4000.002.01.PDF")</f>
        <v/>
      </c>
      <c r="D20" s="5" t="inlineStr">
        <is>
          <t>2</t>
        </is>
      </c>
      <c r="E20" s="5" t="inlineStr">
        <is>
          <t>Radar Wiring Diagram X-Band</t>
        </is>
      </c>
      <c r="F20" s="5" t="inlineStr">
        <is>
          <t>FURN</t>
        </is>
      </c>
      <c r="G20" s="5" t="inlineStr">
        <is>
          <t>Furuno</t>
        </is>
      </c>
      <c r="H20" s="5" t="inlineStr">
        <is>
          <t>AS BUILT</t>
        </is>
      </c>
    </row>
    <row r="21">
      <c r="A21" s="7" t="inlineStr">
        <is>
          <t>M40 - ELECTRICAL</t>
        </is>
      </c>
      <c r="B21" s="7" t="inlineStr">
        <is>
          <t>P30 - NAVIGATION SYSTEMS</t>
        </is>
      </c>
      <c r="C21" s="8">
        <f>=HYPERLINK("M40 - ELECTRICAL\P30 - NAVIGATION SYSTEMS\DEMO1234-E-4000.003.01.PDF","DEMO1234-E-4000.003.01.PDF")</f>
        <v/>
      </c>
      <c r="D21" s="7" t="inlineStr">
        <is>
          <t>2</t>
        </is>
      </c>
      <c r="E21" s="7" t="inlineStr">
        <is>
          <t>Radar Wiring Diagram S-Band</t>
        </is>
      </c>
      <c r="F21" s="7" t="inlineStr">
        <is>
          <t>FURN</t>
        </is>
      </c>
      <c r="G21" s="7" t="inlineStr">
        <is>
          <t>Furuno</t>
        </is>
      </c>
      <c r="H21" s="7" t="inlineStr">
        <is>
          <t>ISSUED FOR APPROVAL</t>
        </is>
      </c>
    </row>
    <row r="22">
      <c r="A22" s="5" t="inlineStr">
        <is>
          <t>M40 - ELECTRICAL</t>
        </is>
      </c>
      <c r="B22" s="5" t="inlineStr">
        <is>
          <t>P30 - NAVIGATION SYSTEMS</t>
        </is>
      </c>
      <c r="C22" s="6">
        <f>=HYPERLINK("M40 - ELECTRICAL\P30 - NAVIGATION SYSTEMS\DEMO1234-E-4000.004.01.PDF","DEMO1234-E-4000.004.01.PDF")</f>
        <v/>
      </c>
      <c r="D22" s="5" t="inlineStr">
        <is>
          <t>2</t>
        </is>
      </c>
      <c r="E22" s="5" t="inlineStr">
        <is>
          <t>GPS and AIS Wiring</t>
        </is>
      </c>
      <c r="F22" s="5" t="inlineStr">
        <is>
          <t>FURN</t>
        </is>
      </c>
      <c r="G22" s="5" t="inlineStr">
        <is>
          <t>Furuno</t>
        </is>
      </c>
      <c r="H22" s="5" t="inlineStr">
        <is>
          <t>AS BUILT</t>
        </is>
      </c>
    </row>
    <row r="23">
      <c r="A23" s="7" t="inlineStr">
        <is>
          <t>M40 - ELECTRICAL</t>
        </is>
      </c>
      <c r="B23" s="7" t="inlineStr">
        <is>
          <t>P30 - NAVIGATION SYSTEMS</t>
        </is>
      </c>
      <c r="C23" s="8">
        <f>=HYPERLINK("M40 - ELECTRICAL\P30 - NAVIGATION SYSTEMS\DEMO1234-E-4000.005.01.PDF","DEMO1234-E-4000.005.01.PDF")</f>
        <v/>
      </c>
      <c r="D23" s="7" t="inlineStr">
        <is>
          <t>2</t>
        </is>
      </c>
      <c r="E23" s="7" t="inlineStr">
        <is>
          <t>ECDIS Wiring Diagram</t>
        </is>
      </c>
      <c r="F23" s="7" t="inlineStr">
        <is>
          <t>WRTS</t>
        </is>
      </c>
      <c r="G23" s="7" t="inlineStr">
        <is>
          <t>Wärtsilä</t>
        </is>
      </c>
      <c r="H23" s="7" t="inlineStr">
        <is>
          <t>AS BUILT</t>
        </is>
      </c>
    </row>
    <row r="24">
      <c r="A24" s="5" t="inlineStr">
        <is>
          <t>M40 - ELECTRICAL</t>
        </is>
      </c>
      <c r="B24" s="5" t="inlineStr">
        <is>
          <t>P30 - NAVIGATION SYSTEMS</t>
        </is>
      </c>
      <c r="C24" s="6">
        <f>=HYPERLINK("M40 - ELECTRICAL\P30 - NAVIGATION SYSTEMS\DEMO1234-E-4000.006.01.PDF","DEMO1234-E-4000.006.01.PDF")</f>
        <v/>
      </c>
      <c r="D24" s="5" t="inlineStr">
        <is>
          <t>1</t>
        </is>
      </c>
      <c r="E24" s="5" t="inlineStr">
        <is>
          <t>VDR Installation</t>
        </is>
      </c>
      <c r="F24" s="5" t="inlineStr">
        <is>
          <t>KH</t>
        </is>
      </c>
      <c r="G24" s="5" t="inlineStr">
        <is>
          <t>Kelvin Hughes</t>
        </is>
      </c>
      <c r="H24" s="5" t="inlineStr">
        <is>
          <t>AS BUILT</t>
        </is>
      </c>
    </row>
    <row r="25">
      <c r="A25" s="7" t="inlineStr">
        <is>
          <t>M40 - ELECTRICAL</t>
        </is>
      </c>
      <c r="B25" s="7" t="inlineStr">
        <is>
          <t>P40 - ALARM AND CONTROL</t>
        </is>
      </c>
      <c r="C25" s="8">
        <f>=HYPERLINK("M40 - ELECTRICAL\P40 - ALARM AND CONTROL\DEMO1234-E-4000.001.01.PDF","DEMO1234-E-4000.001.01.PDF")</f>
        <v/>
      </c>
      <c r="D25" s="7" t="inlineStr">
        <is>
          <t>4</t>
        </is>
      </c>
      <c r="E25" s="7" t="inlineStr">
        <is>
          <t>IAS System Architecture</t>
        </is>
      </c>
      <c r="F25" s="7" t="inlineStr">
        <is>
          <t>KONG</t>
        </is>
      </c>
      <c r="G25" s="7" t="inlineStr">
        <is>
          <t>Kongsberg</t>
        </is>
      </c>
      <c r="H25" s="7" t="inlineStr">
        <is>
          <t>ISSUED FOR APPROVAL</t>
        </is>
      </c>
    </row>
    <row r="26">
      <c r="A26" s="5" t="inlineStr">
        <is>
          <t>M40 - ELECTRICAL</t>
        </is>
      </c>
      <c r="B26" s="5" t="inlineStr">
        <is>
          <t>P40 - ALARM AND CONTROL</t>
        </is>
      </c>
      <c r="C26" s="6">
        <f>=HYPERLINK("M40 - ELECTRICAL\P40 - ALARM AND CONTROL\DEMO1234-E-4000.002.01.PDF","DEMO1234-E-4000.002.01.PDF")</f>
        <v/>
      </c>
      <c r="D26" s="5" t="inlineStr">
        <is>
          <t>3</t>
        </is>
      </c>
      <c r="E26" s="5" t="inlineStr">
        <is>
          <t>IAS Cabinet Wiring</t>
        </is>
      </c>
      <c r="F26" s="5" t="inlineStr">
        <is>
          <t>KONG</t>
        </is>
      </c>
      <c r="G26" s="5" t="inlineStr">
        <is>
          <t>Kongsberg</t>
        </is>
      </c>
      <c r="H26" s="5" t="inlineStr">
        <is>
          <t>AS BUILT</t>
        </is>
      </c>
    </row>
    <row r="27">
      <c r="A27" s="7" t="inlineStr">
        <is>
          <t>M40 - ELECTRICAL</t>
        </is>
      </c>
      <c r="B27" s="7" t="inlineStr">
        <is>
          <t>P40 - ALARM AND CONTROL</t>
        </is>
      </c>
      <c r="C27" s="8">
        <f>=HYPERLINK("M40 - ELECTRICAL\P40 - ALARM AND CONTROL\DEMO1234-E-4000.003.01.PDF","DEMO1234-E-4000.003.01.PDF")</f>
        <v/>
      </c>
      <c r="D27" s="7" t="inlineStr">
        <is>
          <t>3</t>
        </is>
      </c>
      <c r="E27" s="7" t="inlineStr">
        <is>
          <t>Fire Detection System</t>
        </is>
      </c>
      <c r="F27" s="7" t="inlineStr">
        <is>
          <t>HCH</t>
        </is>
      </c>
      <c r="G27" s="7" t="inlineStr">
        <is>
          <t>Hochiki</t>
        </is>
      </c>
      <c r="H27" s="7" t="inlineStr">
        <is>
          <t>AS BUILT</t>
        </is>
      </c>
    </row>
    <row r="28">
      <c r="A28" s="5" t="inlineStr">
        <is>
          <t>M40 - ELECTRICAL</t>
        </is>
      </c>
      <c r="B28" s="5" t="inlineStr">
        <is>
          <t>P40 - ALARM AND CONTROL</t>
        </is>
      </c>
      <c r="C28" s="6">
        <f>=HYPERLINK("M40 - ELECTRICAL\P40 - ALARM AND CONTROL\DEMO1234-E-4000.004.01.PDF","DEMO1234-E-4000.004.01.PDF")</f>
        <v/>
      </c>
      <c r="D28" s="5" t="inlineStr">
        <is>
          <t>3</t>
        </is>
      </c>
      <c r="E28" s="5" t="inlineStr">
        <is>
          <t>Fire Detection Loop Diagram</t>
        </is>
      </c>
      <c r="F28" s="5" t="inlineStr">
        <is>
          <t>HCH</t>
        </is>
      </c>
      <c r="G28" s="5" t="inlineStr">
        <is>
          <t>Hochiki</t>
        </is>
      </c>
      <c r="H28" s="5" t="inlineStr">
        <is>
          <t>AS BUILT</t>
        </is>
      </c>
    </row>
    <row r="29">
      <c r="A29" s="7" t="inlineStr">
        <is>
          <t>M40 - ELECTRICAL</t>
        </is>
      </c>
      <c r="B29" s="7" t="inlineStr">
        <is>
          <t>P50 - COMMUNICATION</t>
        </is>
      </c>
      <c r="C29" s="8">
        <f>=HYPERLINK("M40 - ELECTRICAL\P50 - COMMUNICATION\DEMO1234-E-4000.001.01.PDF","DEMO1234-E-4000.001.01.PDF")</f>
        <v/>
      </c>
      <c r="D29" s="7" t="inlineStr">
        <is>
          <t>2</t>
        </is>
      </c>
      <c r="E29" s="7" t="inlineStr">
        <is>
          <t>Public Address System</t>
        </is>
      </c>
      <c r="F29" s="7" t="inlineStr">
        <is>
          <t>JTRN</t>
        </is>
      </c>
      <c r="G29" s="7" t="inlineStr">
        <is>
          <t>Jotron</t>
        </is>
      </c>
      <c r="H29" s="7" t="inlineStr">
        <is>
          <t>AS BUILT</t>
        </is>
      </c>
    </row>
    <row r="30">
      <c r="A30" s="5" t="inlineStr">
        <is>
          <t>M40 - ELECTRICAL</t>
        </is>
      </c>
      <c r="B30" s="5" t="inlineStr">
        <is>
          <t>P50 - COMMUNICATION</t>
        </is>
      </c>
      <c r="C30" s="6">
        <f>=HYPERLINK("M40 - ELECTRICAL\P50 - COMMUNICATION\DEMO1234-E-4000.002.01.PDF","DEMO1234-E-4000.002.01.PDF")</f>
        <v/>
      </c>
      <c r="D30" s="5" t="inlineStr">
        <is>
          <t>2</t>
        </is>
      </c>
      <c r="E30" s="5" t="inlineStr">
        <is>
          <t>Internal Telephone System</t>
        </is>
      </c>
      <c r="F30" s="5" t="inlineStr">
        <is>
          <t>JTRN</t>
        </is>
      </c>
      <c r="G30" s="5" t="inlineStr">
        <is>
          <t>Jotron</t>
        </is>
      </c>
      <c r="H30" s="5" t="inlineStr">
        <is>
          <t>AS BUILT</t>
        </is>
      </c>
    </row>
    <row r="31">
      <c r="A31" s="7" t="inlineStr">
        <is>
          <t>M40 - ELECTRICAL</t>
        </is>
      </c>
      <c r="B31" s="7" t="inlineStr">
        <is>
          <t>P60 - LIGHTING</t>
        </is>
      </c>
      <c r="C31" s="8">
        <f>=HYPERLINK("M40 - ELECTRICAL\P60 - LIGHTING\DEMO1234-E-4000.001.01.PDF","DEMO1234-E-4000.001.01.PDF")</f>
        <v/>
      </c>
      <c r="D31" s="7" t="inlineStr">
        <is>
          <t>3</t>
        </is>
      </c>
      <c r="E31" s="7" t="inlineStr">
        <is>
          <t>Lighting Plan - Main Deck</t>
        </is>
      </c>
      <c r="F31" s="7" t="inlineStr">
        <is>
          <t>CIMC</t>
        </is>
      </c>
      <c r="G31" s="7" t="inlineStr">
        <is>
          <t>CIMC Raffles</t>
        </is>
      </c>
      <c r="H31" s="7" t="inlineStr">
        <is>
          <t>AS BUILT</t>
        </is>
      </c>
    </row>
    <row r="32">
      <c r="A32" s="5" t="inlineStr">
        <is>
          <t>M40 - ELECTRICAL</t>
        </is>
      </c>
      <c r="B32" s="5" t="inlineStr">
        <is>
          <t>P60 - LIGHTING</t>
        </is>
      </c>
      <c r="C32" s="6">
        <f>=HYPERLINK("M40 - ELECTRICAL\P60 - LIGHTING\DEMO1234-E-4000.002.01.PDF","DEMO1234-E-4000.002.01.PDF")</f>
        <v/>
      </c>
      <c r="D32" s="5" t="inlineStr">
        <is>
          <t>3</t>
        </is>
      </c>
      <c r="E32" s="5" t="inlineStr">
        <is>
          <t>Lighting Plan - Accommodation</t>
        </is>
      </c>
      <c r="F32" s="5" t="inlineStr">
        <is>
          <t>CIMC</t>
        </is>
      </c>
      <c r="G32" s="5" t="inlineStr">
        <is>
          <t>CIMC Raffles</t>
        </is>
      </c>
      <c r="H32" s="5" t="inlineStr">
        <is>
          <t>AS BUILT</t>
        </is>
      </c>
    </row>
    <row r="33">
      <c r="A33" s="7" t="inlineStr">
        <is>
          <t>M40 - ELECTRICAL</t>
        </is>
      </c>
      <c r="B33" s="7" t="inlineStr">
        <is>
          <t>P60 - LIGHTING</t>
        </is>
      </c>
      <c r="C33" s="8">
        <f>=HYPERLINK("M40 - ELECTRICAL\P60 - LIGHTING\DEMO1234-E-4000.003.01.PDF","DEMO1234-E-4000.003.01.PDF")</f>
        <v/>
      </c>
      <c r="D33" s="7" t="inlineStr">
        <is>
          <t>2</t>
        </is>
      </c>
      <c r="E33" s="7" t="inlineStr">
        <is>
          <t>Lighting Panel Wiring</t>
        </is>
      </c>
      <c r="F33" s="7" t="inlineStr">
        <is>
          <t>SCHN</t>
        </is>
      </c>
      <c r="G33" s="7" t="inlineStr">
        <is>
          <t>Schneider</t>
        </is>
      </c>
      <c r="H33" s="7" t="inlineStr">
        <is>
          <t>ISSUED FOR APPROVAL</t>
        </is>
      </c>
    </row>
    <row r="34">
      <c r="A34" s="5" t="inlineStr">
        <is>
          <t>M40 - ELECTRICAL</t>
        </is>
      </c>
      <c r="B34" s="5" t="inlineStr">
        <is>
          <t>P60 - LIGHTING</t>
        </is>
      </c>
      <c r="C34" s="6">
        <f>=HYPERLINK("M40 - ELECTRICAL\P60 - LIGHTING\DEMO1234-E-4000.004.01.PDF","DEMO1234-E-4000.004.01.PDF")</f>
        <v/>
      </c>
      <c r="D34" s="5" t="inlineStr">
        <is>
          <t>2</t>
        </is>
      </c>
      <c r="E34" s="5" t="inlineStr">
        <is>
          <t>Emergency Lighting Diagram</t>
        </is>
      </c>
      <c r="F34" s="5" t="inlineStr">
        <is>
          <t>SCHN</t>
        </is>
      </c>
      <c r="G34" s="5" t="inlineStr">
        <is>
          <t>Schneider</t>
        </is>
      </c>
      <c r="H34" s="5" t="inlineStr">
        <is>
          <t>ISSUED FOR APPROVAL</t>
        </is>
      </c>
    </row>
    <row r="35">
      <c r="A35" s="7" t="inlineStr">
        <is>
          <t>M50 - HVAC</t>
        </is>
      </c>
      <c r="B35" s="7" t="inlineStr">
        <is>
          <t>P00 - VENTILATION</t>
        </is>
      </c>
      <c r="C35" s="8">
        <f>=HYPERLINK("M50 - HVAC\P00 - VENTILATION\DEMO1234-E-5000.001.01.PDF","DEMO1234-E-5000.001.01.PDF")</f>
        <v/>
      </c>
      <c r="D35" s="7" t="inlineStr">
        <is>
          <t>3</t>
        </is>
      </c>
      <c r="E35" s="7" t="inlineStr">
        <is>
          <t>Ventilation System Diagram</t>
        </is>
      </c>
      <c r="F35" s="7" t="inlineStr">
        <is>
          <t>NOVN</t>
        </is>
      </c>
      <c r="G35" s="7" t="inlineStr">
        <is>
          <t>Novenco</t>
        </is>
      </c>
      <c r="H35" s="7" t="inlineStr">
        <is>
          <t>AS BUILT</t>
        </is>
      </c>
    </row>
    <row r="36">
      <c r="A36" s="5" t="inlineStr">
        <is>
          <t>M50 - HVAC</t>
        </is>
      </c>
      <c r="B36" s="5" t="inlineStr">
        <is>
          <t>P00 - VENTILATION</t>
        </is>
      </c>
      <c r="C36" s="6">
        <f>=HYPERLINK("M50 - HVAC\P00 - VENTILATION\DEMO1234-E-5000.002.01.PDF","DEMO1234-E-5000.002.01.PDF")</f>
        <v/>
      </c>
      <c r="D36" s="5" t="inlineStr">
        <is>
          <t>2</t>
        </is>
      </c>
      <c r="E36" s="5" t="inlineStr">
        <is>
          <t>Fan Control Wiring</t>
        </is>
      </c>
      <c r="F36" s="5" t="inlineStr">
        <is>
          <t>NOVN</t>
        </is>
      </c>
      <c r="G36" s="5" t="inlineStr">
        <is>
          <t>Novenco</t>
        </is>
      </c>
      <c r="H36" s="5" t="inlineStr">
        <is>
          <t>AS BUILT</t>
        </is>
      </c>
    </row>
    <row r="37">
      <c r="A37" s="7" t="inlineStr">
        <is>
          <t>M50 - HVAC</t>
        </is>
      </c>
      <c r="B37" s="7" t="inlineStr">
        <is>
          <t>P00 - VENTILATION</t>
        </is>
      </c>
      <c r="C37" s="8">
        <f>=HYPERLINK("M50 - HVAC\P00 - VENTILATION\DEMO1234-E-5000.003.01.PDF","DEMO1234-E-5000.003.01.PDF")</f>
        <v/>
      </c>
      <c r="D37" s="7" t="inlineStr">
        <is>
          <t>2</t>
        </is>
      </c>
      <c r="E37" s="7" t="inlineStr">
        <is>
          <t>AHU Control Diagram</t>
        </is>
      </c>
      <c r="F37" s="7" t="inlineStr">
        <is>
          <t>NOVN</t>
        </is>
      </c>
      <c r="G37" s="7" t="inlineStr">
        <is>
          <t>Novenco</t>
        </is>
      </c>
      <c r="H37" s="7" t="inlineStr">
        <is>
          <t>AS BUILT</t>
        </is>
      </c>
    </row>
    <row r="38">
      <c r="A38" s="5" t="inlineStr">
        <is>
          <t>M60 - MACHINERY</t>
        </is>
      </c>
      <c r="B38" s="5" t="inlineStr">
        <is>
          <t>P10 - PROPULSION</t>
        </is>
      </c>
      <c r="C38" s="6">
        <f>=HYPERLINK("M60 - MACHINERY\P10 - PROPULSION\DEMO1234-E-6000.001.01.PDF","DEMO1234-E-6000.001.01.PDF")</f>
        <v/>
      </c>
      <c r="D38" s="5" t="inlineStr">
        <is>
          <t>3</t>
        </is>
      </c>
      <c r="E38" s="5" t="inlineStr">
        <is>
          <t>Bow Thruster Control Diagram</t>
        </is>
      </c>
      <c r="F38" s="5" t="inlineStr">
        <is>
          <t>RR</t>
        </is>
      </c>
      <c r="G38" s="5" t="inlineStr">
        <is>
          <t>Rolls-Royce</t>
        </is>
      </c>
      <c r="H38" s="5" t="inlineStr">
        <is>
          <t>AS BUILT</t>
        </is>
      </c>
    </row>
    <row r="39">
      <c r="A39" s="7" t="inlineStr">
        <is>
          <t>M60 - MACHINERY</t>
        </is>
      </c>
      <c r="B39" s="7" t="inlineStr">
        <is>
          <t>P10 - PROPULSION</t>
        </is>
      </c>
      <c r="C39" s="8">
        <f>=HYPERLINK("M60 - MACHINERY\P10 - PROPULSION\DEMO1234-E-6000.002.01.PDF","DEMO1234-E-6000.002.01.PDF")</f>
        <v/>
      </c>
      <c r="D39" s="7" t="inlineStr">
        <is>
          <t>2</t>
        </is>
      </c>
      <c r="E39" s="7" t="inlineStr">
        <is>
          <t>VFD Bow Thruster Wiring</t>
        </is>
      </c>
      <c r="F39" s="7" t="inlineStr">
        <is>
          <t>ABB</t>
        </is>
      </c>
      <c r="G39" s="7" t="inlineStr">
        <is>
          <t>ABB Marine</t>
        </is>
      </c>
      <c r="H39" s="7" t="inlineStr">
        <is>
          <t>AS BUILT</t>
        </is>
      </c>
    </row>
    <row r="40">
      <c r="A40" s="5" t="inlineStr">
        <is>
          <t>M60 - MACHINERY</t>
        </is>
      </c>
      <c r="B40" s="5" t="inlineStr">
        <is>
          <t>P20 - AUXILIARY SYSTEMS</t>
        </is>
      </c>
      <c r="C40" s="6">
        <f>=HYPERLINK("M60 - MACHINERY\P20 - AUXILIARY SYSTEMS\DEMO1234-E-6000.001.01.PDF","DEMO1234-E-6000.001.01.PDF")</f>
        <v/>
      </c>
      <c r="D40" s="5" t="inlineStr">
        <is>
          <t>2</t>
        </is>
      </c>
      <c r="E40" s="5" t="inlineStr">
        <is>
          <t>Bilge System Control</t>
        </is>
      </c>
      <c r="F40" s="5" t="inlineStr">
        <is>
          <t>ALLW</t>
        </is>
      </c>
      <c r="G40" s="5" t="inlineStr">
        <is>
          <t>Allweiler</t>
        </is>
      </c>
      <c r="H40" s="5" t="inlineStr">
        <is>
          <t>AS BUILT</t>
        </is>
      </c>
    </row>
    <row r="41">
      <c r="A41" s="7" t="inlineStr">
        <is>
          <t>M60 - MACHINERY</t>
        </is>
      </c>
      <c r="B41" s="7" t="inlineStr">
        <is>
          <t>P20 - AUXILIARY SYSTEMS</t>
        </is>
      </c>
      <c r="C41" s="8">
        <f>=HYPERLINK("M60 - MACHINERY\P20 - AUXILIARY SYSTEMS\DEMO1234-E-6000.002.01.PDF","DEMO1234-E-6000.002.01.PDF")</f>
        <v/>
      </c>
      <c r="D41" s="7" t="inlineStr">
        <is>
          <t>2</t>
        </is>
      </c>
      <c r="E41" s="7" t="inlineStr">
        <is>
          <t>Fuel Oil System Control</t>
        </is>
      </c>
      <c r="F41" s="7" t="inlineStr">
        <is>
          <t>ALLW</t>
        </is>
      </c>
      <c r="G41" s="7" t="inlineStr">
        <is>
          <t>Allweiler</t>
        </is>
      </c>
      <c r="H41" s="7" t="inlineStr">
        <is>
          <t>AS BUILT</t>
        </is>
      </c>
    </row>
    <row r="42">
      <c r="A42" s="5" t="inlineStr">
        <is>
          <t>M70 - PIPING</t>
        </is>
      </c>
      <c r="B42" s="5" t="inlineStr">
        <is>
          <t>P10 - BILGE AND BALLAST</t>
        </is>
      </c>
      <c r="C42" s="6">
        <f>=HYPERLINK("M70 - PIPING\P10 - BILGE AND BALLAST\DEMO1234-E-7000.001.01.PDF","DEMO1234-E-7000.001.01.PDF")</f>
        <v/>
      </c>
      <c r="D42" s="5" t="inlineStr">
        <is>
          <t>5</t>
        </is>
      </c>
      <c r="E42" s="5" t="inlineStr">
        <is>
          <t>Bilge and Ballast Diagram</t>
        </is>
      </c>
      <c r="F42" s="5" t="inlineStr">
        <is>
          <t>CIMC</t>
        </is>
      </c>
      <c r="G42" s="5" t="inlineStr">
        <is>
          <t>CIMC Raffles</t>
        </is>
      </c>
      <c r="H42" s="5" t="inlineStr">
        <is>
          <t>ISSUED FOR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Equipment Explorer - Sample Drawing Metadata</t>
        </is>
      </c>
    </row>
    <row r="2">
      <c r="A2" s="9" t="inlineStr">
        <is>
          <t>Fictional vessel: MV Horizon Star (Hull 1234)</t>
        </is>
      </c>
    </row>
    <row r="3">
      <c r="A3" s="9" t="inlineStr">
        <is>
          <t>This file is sample data. Column C contains HYPERLINK formulas like the real format.</t>
        </is>
      </c>
    </row>
    <row r="4">
      <c r="A4" s="9" t="inlineStr">
        <is>
          <t>The import script reads the HYPERLINK path to get the filename and folder structure.</t>
        </is>
      </c>
    </row>
    <row r="5">
      <c r="A5" s="9" t="inlineStr">
        <is>
          <t>Total documents: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2026-03-08T14:08:12Z</dcterms:created>
  <dcterms:modified xmlns:dcterms="http://purl.org/dc/terms/" xmlns:xsi="http://www.w3.org/2001/XMLSchema-instance" xsi:type="dcterms:W3CDTF">2026-03-08T14:08:12Z</dcterms:modified>
</cp:coreProperties>
</file>